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nne/Desktop/CDA1/2业务数据分析/3、由基础思维范式引申出的分析方法/3、由基础思维范式引申出的分析方法-外发/"/>
    </mc:Choice>
  </mc:AlternateContent>
  <xr:revisionPtr revIDLastSave="0" documentId="13_ncr:1_{EE401F4A-F325-774B-8968-0B7A408F2660}" xr6:coauthVersionLast="47" xr6:coauthVersionMax="47" xr10:uidLastSave="{00000000-0000-0000-0000-000000000000}"/>
  <bookViews>
    <workbookView xWindow="560" yWindow="580" windowWidth="28240" windowHeight="16100" xr2:uid="{40019274-66C7-464F-9FFA-7FCD530AF90A}"/>
  </bookViews>
  <sheets>
    <sheet name="关系图" sheetId="5" r:id="rId1"/>
  </sheets>
  <definedNames>
    <definedName name="_xlchart.v1.0" hidden="1">关系图!$M$1</definedName>
    <definedName name="_xlchart.v1.1" hidden="1">关系图!$M$2:$M$340</definedName>
    <definedName name="_xlchart.v1.10" hidden="1">关系图!$O$1</definedName>
    <definedName name="_xlchart.v1.11" hidden="1">关系图!$O$2:$O$340</definedName>
    <definedName name="_xlchart.v1.12" hidden="1">关系图!$M$1</definedName>
    <definedName name="_xlchart.v1.13" hidden="1">关系图!$M$2:$M$340</definedName>
    <definedName name="_xlchart.v1.14" hidden="1">关系图!$N$1</definedName>
    <definedName name="_xlchart.v1.15" hidden="1">关系图!$N$2:$N$340</definedName>
    <definedName name="_xlchart.v1.16" hidden="1">关系图!$O$1</definedName>
    <definedName name="_xlchart.v1.17" hidden="1">关系图!$O$2:$O$340</definedName>
    <definedName name="_xlchart.v1.2" hidden="1">关系图!$N$1</definedName>
    <definedName name="_xlchart.v1.3" hidden="1">关系图!$N$2:$N$340</definedName>
    <definedName name="_xlchart.v1.4" hidden="1">关系图!$O$1</definedName>
    <definedName name="_xlchart.v1.5" hidden="1">关系图!$O$2:$O$340</definedName>
    <definedName name="_xlchart.v1.6" hidden="1">关系图!$M$1</definedName>
    <definedName name="_xlchart.v1.7" hidden="1">关系图!$M$2:$M$340</definedName>
    <definedName name="_xlchart.v1.8" hidden="1">关系图!$N$1</definedName>
    <definedName name="_xlchart.v1.9" hidden="1">关系图!$N$2:$N$340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2" i="5"/>
  <c r="D18" i="5"/>
  <c r="C18" i="5"/>
  <c r="D17" i="5"/>
  <c r="C17" i="5"/>
  <c r="D16" i="5"/>
  <c r="C16" i="5"/>
  <c r="C5" i="5"/>
  <c r="D5" i="5"/>
  <c r="C6" i="5"/>
  <c r="D6" i="5"/>
  <c r="C7" i="5"/>
  <c r="D7" i="5"/>
  <c r="C8" i="5"/>
  <c r="D8" i="5"/>
  <c r="C4" i="5"/>
  <c r="D4" i="5"/>
</calcChain>
</file>

<file path=xl/sharedStrings.xml><?xml version="1.0" encoding="utf-8"?>
<sst xmlns="http://schemas.openxmlformats.org/spreadsheetml/2006/main" count="126" uniqueCount="123">
  <si>
    <t>用户 id</t>
    <phoneticPr fontId="1" type="noConversion"/>
  </si>
  <si>
    <t>id1</t>
    <phoneticPr fontId="1" type="noConversion"/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</si>
  <si>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</si>
  <si>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</si>
  <si>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</si>
  <si>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</si>
  <si>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</si>
  <si>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</si>
  <si>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</si>
  <si>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</si>
  <si>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</si>
  <si>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</si>
  <si>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</si>
  <si>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</si>
  <si>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</si>
  <si>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</si>
  <si>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</si>
  <si>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</si>
  <si>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</si>
  <si>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</si>
  <si>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</si>
  <si>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</si>
  <si>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</si>
  <si>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</si>
  <si>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</si>
  <si>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</si>
  <si>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</si>
  <si>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</si>
  <si>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</si>
  <si>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</si>
  <si>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</si>
  <si>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</si>
  <si>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</si>
  <si>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</si>
  <si>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</si>
  <si>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</si>
  <si>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</si>
  <si>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</si>
  <si>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</si>
  <si>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</si>
  <si>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</si>
  <si>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</si>
  <si>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</si>
  <si>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</si>
  <si>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</si>
  <si>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</si>
  <si>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</si>
  <si>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</si>
  <si>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</si>
  <si>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</si>
  <si>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</si>
  <si>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</si>
  <si>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</si>
  <si>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</si>
  <si>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</si>
  <si>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</si>
  <si>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</si>
  <si>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</si>
  <si>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</si>
  <si>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</si>
  <si>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</si>
  <si>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</si>
  <si>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</si>
  <si>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</si>
  <si>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</si>
  <si>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</si>
  <si>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</si>
  <si>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</si>
  <si>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</si>
  <si>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</si>
  <si>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</si>
  <si>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</si>
  <si>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</si>
  <si>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</si>
  <si>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</si>
  <si>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</si>
  <si>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</si>
  <si>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</si>
  <si>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</si>
  <si>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</si>
  <si>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</si>
  <si>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</si>
  <si>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</si>
  <si>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</si>
  <si>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</si>
  <si>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</si>
  <si>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</si>
  <si>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</si>
  <si>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</si>
  <si>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</si>
  <si>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</si>
  <si>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</si>
  <si>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</si>
  <si>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</si>
  <si>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</si>
  <si>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</si>
  <si>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</si>
  <si>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</si>
  <si>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</si>
  <si>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分类变量</t>
    <phoneticPr fontId="1" type="noConversion"/>
  </si>
  <si>
    <t>地区/人数</t>
    <phoneticPr fontId="1" type="noConversion"/>
  </si>
  <si>
    <t>营销活动 1</t>
    <phoneticPr fontId="1" type="noConversion"/>
  </si>
  <si>
    <t>营销活动 2</t>
  </si>
  <si>
    <t>营销活动 3</t>
  </si>
  <si>
    <t>营销活动 4</t>
  </si>
  <si>
    <t>营销活动 5</t>
  </si>
  <si>
    <t>下单用户</t>
    <phoneticPr fontId="1" type="noConversion"/>
  </si>
  <si>
    <t>未下单用户</t>
    <phoneticPr fontId="1" type="noConversion"/>
  </si>
  <si>
    <t>忠诚度</t>
    <phoneticPr fontId="1" type="noConversion"/>
  </si>
  <si>
    <t>满意</t>
    <phoneticPr fontId="1" type="noConversion"/>
  </si>
  <si>
    <t>不满意</t>
    <phoneticPr fontId="1" type="noConversion"/>
  </si>
  <si>
    <t>忠诚度高</t>
    <phoneticPr fontId="1" type="noConversion"/>
  </si>
  <si>
    <t>忠诚度中</t>
    <phoneticPr fontId="1" type="noConversion"/>
  </si>
  <si>
    <t>忠诚度低</t>
    <phoneticPr fontId="1" type="noConversion"/>
  </si>
  <si>
    <t>销售金额</t>
    <phoneticPr fontId="1" type="noConversion"/>
  </si>
  <si>
    <t>分类变量&amp;连续变量</t>
    <phoneticPr fontId="1" type="noConversion"/>
  </si>
  <si>
    <t>产出收益</t>
    <phoneticPr fontId="1" type="noConversion"/>
  </si>
  <si>
    <t>投入成本</t>
    <phoneticPr fontId="1" type="noConversion"/>
  </si>
  <si>
    <t>连个连续变量间关系</t>
    <phoneticPr fontId="1" type="noConversion"/>
  </si>
  <si>
    <t>不同营销活动客户下单情况对比</t>
    <phoneticPr fontId="1" type="noConversion"/>
  </si>
  <si>
    <t>不同忠诚度客户对品牌满意度对比</t>
    <phoneticPr fontId="1" type="noConversion"/>
  </si>
  <si>
    <t>各营销活动中销售额对比图，且反映销售额的分布情况</t>
    <phoneticPr fontId="1" type="noConversion"/>
  </si>
  <si>
    <t>探究投入成本和获得收益之间的关系。作图说明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</si>
</sst>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0" fillId="3" borderId="0" xfId="0" applyFill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4" fillId="2" borderId="0" xfId="0" applyFont="1" applyFill="1">
      <alignment vertical="center"/>
    </xf>
    <xf numFmtId="0" fontId="5" fillId="0" borderId="2" xfId="0" applyFont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13CD-E77D-E04A-A042-D2CDED92A893}">
  <dimension ref="B1:Z99"/>
  <sheetViews>
    <sheetView tabSelected="1" topLeftCell="M1" workbookViewId="0">
      <selection activeCell="X4" sqref="X4:X10"/>
    </sheetView>
  </sheetViews>
  <sheetFormatPr baseColWidth="10" defaultRowHeight="16"/>
  <cols>
    <col min="1" max="1" width="2.6640625" style="1" customWidth="1"/>
    <col min="2" max="9" width="10.83203125" style="1"/>
    <col min="10" max="10" width="2.1640625" style="10" customWidth="1"/>
    <col min="11" max="11" width="22.33203125" style="1" customWidth="1"/>
    <col min="12" max="22" width="10.83203125" style="1"/>
    <col min="23" max="23" width="2" style="10" customWidth="1"/>
    <col min="24" max="24" width="19.5" style="1" customWidth="1"/>
    <col min="25" max="25" width="11.33203125" style="1" customWidth="1"/>
    <col min="26" max="16384" width="10.83203125" style="1"/>
  </cols>
  <sheetData>
    <row r="1" spans="2:26">
      <c r="B1" s="8" t="s">
        <v>99</v>
      </c>
      <c r="K1" s="9" t="s">
        <v>115</v>
      </c>
      <c r="L1" s="2" t="s">
        <v>0</v>
      </c>
      <c r="M1" s="5" t="s">
        <v>101</v>
      </c>
      <c r="N1" s="5" t="s">
        <v>102</v>
      </c>
      <c r="O1" s="5" t="s">
        <v>103</v>
      </c>
      <c r="X1" s="9" t="s">
        <v>118</v>
      </c>
      <c r="Y1" s="7" t="s">
        <v>116</v>
      </c>
      <c r="Z1" s="7" t="s">
        <v>117</v>
      </c>
    </row>
    <row r="2" spans="2:26">
      <c r="B2" s="13" t="s">
        <v>119</v>
      </c>
      <c r="K2" s="9" t="s">
        <v>114</v>
      </c>
      <c r="L2" s="2" t="s">
        <v>1</v>
      </c>
      <c r="M2" s="6">
        <f ca="1">RANDBETWEEN(50,500)</f>
        <v>161</v>
      </c>
      <c r="N2" s="6">
        <f ca="1">RANDBETWEEN(300,1000)</f>
        <v>989</v>
      </c>
      <c r="O2" s="6">
        <f ca="1">RANDBETWEEN(10,200)</f>
        <v>188</v>
      </c>
      <c r="Y2" s="11">
        <v>438.20585492194107</v>
      </c>
      <c r="Z2" s="12">
        <v>155</v>
      </c>
    </row>
    <row r="3" spans="2:26">
      <c r="B3" s="2" t="s">
        <v>100</v>
      </c>
      <c r="C3" s="4" t="s">
        <v>106</v>
      </c>
      <c r="D3" s="4" t="s">
        <v>107</v>
      </c>
      <c r="L3" s="2" t="s">
        <v>2</v>
      </c>
      <c r="M3" s="6">
        <f t="shared" ref="M3:M66" ca="1" si="0">RANDBETWEEN(50,500)</f>
        <v>181</v>
      </c>
      <c r="N3" s="6">
        <f t="shared" ref="N3:N66" ca="1" si="1">RANDBETWEEN(300,1000)</f>
        <v>363</v>
      </c>
      <c r="O3" s="6">
        <f t="shared" ref="O3:O66" ca="1" si="2">RANDBETWEEN(10,200)</f>
        <v>31</v>
      </c>
      <c r="Y3" s="11">
        <v>600.76825567394997</v>
      </c>
      <c r="Z3" s="12">
        <v>272</v>
      </c>
    </row>
    <row r="4" spans="2:26">
      <c r="B4" s="4" t="s">
        <v>101</v>
      </c>
      <c r="C4" s="3">
        <f ca="1">RANDBETWEEN(100,500)</f>
        <v>123</v>
      </c>
      <c r="D4" s="3">
        <f ca="1">RANDBETWEEN(100,500)</f>
        <v>212</v>
      </c>
      <c r="L4" s="2" t="s">
        <v>3</v>
      </c>
      <c r="M4" s="6">
        <f t="shared" ca="1" si="0"/>
        <v>237</v>
      </c>
      <c r="N4" s="6">
        <f t="shared" ca="1" si="1"/>
        <v>749</v>
      </c>
      <c r="O4" s="6">
        <f t="shared" ca="1" si="2"/>
        <v>44</v>
      </c>
      <c r="X4" s="15" t="s">
        <v>122</v>
      </c>
      <c r="Y4" s="11">
        <v>555.94608503836639</v>
      </c>
      <c r="Z4" s="12">
        <v>248</v>
      </c>
    </row>
    <row r="5" spans="2:26">
      <c r="B5" s="4" t="s">
        <v>102</v>
      </c>
      <c r="C5" s="3">
        <f t="shared" ref="C5:D8" ca="1" si="3">RANDBETWEEN(100,500)</f>
        <v>465</v>
      </c>
      <c r="D5" s="3">
        <f t="shared" ca="1" si="3"/>
        <v>377</v>
      </c>
      <c r="K5" s="14" t="s">
        <v>121</v>
      </c>
      <c r="L5" s="2" t="s">
        <v>4</v>
      </c>
      <c r="M5" s="6">
        <f t="shared" ca="1" si="0"/>
        <v>469</v>
      </c>
      <c r="N5" s="6">
        <f t="shared" ca="1" si="1"/>
        <v>718</v>
      </c>
      <c r="O5" s="6">
        <f t="shared" ca="1" si="2"/>
        <v>174</v>
      </c>
      <c r="X5" s="16"/>
      <c r="Y5" s="11">
        <v>560.20585492194107</v>
      </c>
      <c r="Z5" s="12">
        <v>292</v>
      </c>
    </row>
    <row r="6" spans="2:26">
      <c r="B6" s="4" t="s">
        <v>103</v>
      </c>
      <c r="C6" s="3">
        <f t="shared" ca="1" si="3"/>
        <v>146</v>
      </c>
      <c r="D6" s="3">
        <f t="shared" ca="1" si="3"/>
        <v>446</v>
      </c>
      <c r="K6" s="14"/>
      <c r="L6" s="2" t="s">
        <v>5</v>
      </c>
      <c r="M6" s="6">
        <f t="shared" ca="1" si="0"/>
        <v>106</v>
      </c>
      <c r="N6" s="6">
        <f t="shared" ca="1" si="1"/>
        <v>448</v>
      </c>
      <c r="O6" s="6">
        <f t="shared" ca="1" si="2"/>
        <v>65</v>
      </c>
      <c r="X6" s="16"/>
      <c r="Y6" s="11">
        <v>387.20585492194107</v>
      </c>
      <c r="Z6" s="12">
        <v>144</v>
      </c>
    </row>
    <row r="7" spans="2:26">
      <c r="B7" s="4" t="s">
        <v>104</v>
      </c>
      <c r="C7" s="3">
        <f t="shared" ca="1" si="3"/>
        <v>422</v>
      </c>
      <c r="D7" s="3">
        <f t="shared" ca="1" si="3"/>
        <v>473</v>
      </c>
      <c r="K7" s="14"/>
      <c r="L7" s="2" t="s">
        <v>6</v>
      </c>
      <c r="M7" s="6">
        <f t="shared" ca="1" si="0"/>
        <v>154</v>
      </c>
      <c r="N7" s="6">
        <f t="shared" ca="1" si="1"/>
        <v>900</v>
      </c>
      <c r="O7" s="6">
        <f t="shared" ca="1" si="2"/>
        <v>135</v>
      </c>
      <c r="X7" s="16"/>
      <c r="Y7" s="11">
        <v>629.76825567394997</v>
      </c>
      <c r="Z7" s="12">
        <v>329</v>
      </c>
    </row>
    <row r="8" spans="2:26">
      <c r="B8" s="4" t="s">
        <v>105</v>
      </c>
      <c r="C8" s="3">
        <f t="shared" ca="1" si="3"/>
        <v>302</v>
      </c>
      <c r="D8" s="3">
        <f t="shared" ca="1" si="3"/>
        <v>268</v>
      </c>
      <c r="K8" s="14"/>
      <c r="L8" s="2" t="s">
        <v>7</v>
      </c>
      <c r="M8" s="6">
        <f t="shared" ca="1" si="0"/>
        <v>491</v>
      </c>
      <c r="N8" s="6">
        <f t="shared" ca="1" si="1"/>
        <v>473</v>
      </c>
      <c r="O8" s="6">
        <f t="shared" ca="1" si="2"/>
        <v>60</v>
      </c>
      <c r="X8" s="16"/>
      <c r="Y8" s="11">
        <v>791.94608503836639</v>
      </c>
      <c r="Z8" s="12">
        <v>411</v>
      </c>
    </row>
    <row r="9" spans="2:26">
      <c r="K9" s="14"/>
      <c r="L9" s="2" t="s">
        <v>8</v>
      </c>
      <c r="M9" s="6">
        <f t="shared" ca="1" si="0"/>
        <v>256</v>
      </c>
      <c r="N9" s="6">
        <f t="shared" ca="1" si="1"/>
        <v>972</v>
      </c>
      <c r="O9" s="6">
        <f t="shared" ca="1" si="2"/>
        <v>14</v>
      </c>
      <c r="X9" s="16"/>
      <c r="Y9" s="11">
        <v>386.85004357472712</v>
      </c>
      <c r="Z9" s="12">
        <v>216</v>
      </c>
    </row>
    <row r="10" spans="2:26">
      <c r="K10" s="14"/>
      <c r="L10" s="2" t="s">
        <v>9</v>
      </c>
      <c r="M10" s="6">
        <f t="shared" ca="1" si="0"/>
        <v>306</v>
      </c>
      <c r="N10" s="6">
        <f t="shared" ca="1" si="1"/>
        <v>383</v>
      </c>
      <c r="O10" s="6">
        <f t="shared" ca="1" si="2"/>
        <v>54</v>
      </c>
      <c r="X10" s="16"/>
      <c r="Y10" s="11">
        <v>306.20585492194107</v>
      </c>
      <c r="Z10" s="12">
        <v>91</v>
      </c>
    </row>
    <row r="11" spans="2:26">
      <c r="K11" s="14"/>
      <c r="L11" s="2" t="s">
        <v>10</v>
      </c>
      <c r="M11" s="6">
        <f t="shared" ca="1" si="0"/>
        <v>160</v>
      </c>
      <c r="N11" s="6">
        <f t="shared" ca="1" si="1"/>
        <v>441</v>
      </c>
      <c r="O11" s="6">
        <f t="shared" ca="1" si="2"/>
        <v>195</v>
      </c>
      <c r="Y11" s="11">
        <v>466.85004357472712</v>
      </c>
      <c r="Z11" s="12">
        <v>195</v>
      </c>
    </row>
    <row r="12" spans="2:26">
      <c r="K12" s="14"/>
      <c r="L12" s="2" t="s">
        <v>11</v>
      </c>
      <c r="M12" s="6">
        <f t="shared" ca="1" si="0"/>
        <v>269</v>
      </c>
      <c r="N12" s="6">
        <f t="shared" ca="1" si="1"/>
        <v>434</v>
      </c>
      <c r="O12" s="6">
        <f t="shared" ca="1" si="2"/>
        <v>18</v>
      </c>
      <c r="Y12" s="11">
        <v>302.76825567394997</v>
      </c>
      <c r="Z12" s="12">
        <v>135</v>
      </c>
    </row>
    <row r="13" spans="2:26">
      <c r="L13" s="2" t="s">
        <v>12</v>
      </c>
      <c r="M13" s="6">
        <f t="shared" ca="1" si="0"/>
        <v>347</v>
      </c>
      <c r="N13" s="6">
        <f t="shared" ca="1" si="1"/>
        <v>565</v>
      </c>
      <c r="O13" s="6">
        <f t="shared" ca="1" si="2"/>
        <v>138</v>
      </c>
      <c r="Y13" s="11">
        <v>470.20585492194107</v>
      </c>
      <c r="Z13" s="12">
        <v>176</v>
      </c>
    </row>
    <row r="14" spans="2:26">
      <c r="B14" s="13" t="s">
        <v>120</v>
      </c>
      <c r="L14" s="2" t="s">
        <v>13</v>
      </c>
      <c r="M14" s="6">
        <f t="shared" ca="1" si="0"/>
        <v>192</v>
      </c>
      <c r="N14" s="6">
        <f t="shared" ca="1" si="1"/>
        <v>906</v>
      </c>
      <c r="O14" s="6">
        <f t="shared" ca="1" si="2"/>
        <v>142</v>
      </c>
      <c r="Y14" s="11">
        <v>935.20585492194107</v>
      </c>
      <c r="Z14" s="12">
        <v>415</v>
      </c>
    </row>
    <row r="15" spans="2:26">
      <c r="B15" s="2" t="s">
        <v>108</v>
      </c>
      <c r="C15" s="4" t="s">
        <v>109</v>
      </c>
      <c r="D15" s="4" t="s">
        <v>110</v>
      </c>
      <c r="L15" s="2" t="s">
        <v>14</v>
      </c>
      <c r="M15" s="6">
        <f t="shared" ca="1" si="0"/>
        <v>260</v>
      </c>
      <c r="N15" s="6">
        <f t="shared" ca="1" si="1"/>
        <v>949</v>
      </c>
      <c r="O15" s="6">
        <f t="shared" ca="1" si="2"/>
        <v>129</v>
      </c>
      <c r="Y15" s="11">
        <v>482.94608503836639</v>
      </c>
      <c r="Z15" s="12">
        <v>257</v>
      </c>
    </row>
    <row r="16" spans="2:26">
      <c r="B16" s="4" t="s">
        <v>111</v>
      </c>
      <c r="C16" s="3">
        <f ca="1">RANDBETWEEN(100,500)</f>
        <v>351</v>
      </c>
      <c r="D16" s="3">
        <f ca="1">RANDBETWEEN(100,500)</f>
        <v>175</v>
      </c>
      <c r="L16" s="2" t="s">
        <v>15</v>
      </c>
      <c r="M16" s="6">
        <f t="shared" ca="1" si="0"/>
        <v>159</v>
      </c>
      <c r="N16" s="6">
        <f t="shared" ca="1" si="1"/>
        <v>323</v>
      </c>
      <c r="O16" s="6">
        <f t="shared" ca="1" si="2"/>
        <v>40</v>
      </c>
      <c r="Y16" s="11">
        <v>315.76825567394997</v>
      </c>
      <c r="Z16" s="12">
        <v>153</v>
      </c>
    </row>
    <row r="17" spans="2:26">
      <c r="B17" s="4" t="s">
        <v>112</v>
      </c>
      <c r="C17" s="3">
        <f t="shared" ref="C17:D18" ca="1" si="4">RANDBETWEEN(100,500)</f>
        <v>161</v>
      </c>
      <c r="D17" s="3">
        <f t="shared" ca="1" si="4"/>
        <v>283</v>
      </c>
      <c r="L17" s="2" t="s">
        <v>16</v>
      </c>
      <c r="M17" s="6">
        <f t="shared" ca="1" si="0"/>
        <v>112</v>
      </c>
      <c r="N17" s="6">
        <f t="shared" ca="1" si="1"/>
        <v>959</v>
      </c>
      <c r="O17" s="6">
        <f t="shared" ca="1" si="2"/>
        <v>179</v>
      </c>
      <c r="Y17" s="11">
        <v>798.76825567394997</v>
      </c>
      <c r="Z17" s="12">
        <v>357</v>
      </c>
    </row>
    <row r="18" spans="2:26">
      <c r="B18" s="4" t="s">
        <v>113</v>
      </c>
      <c r="C18" s="3">
        <f t="shared" ca="1" si="4"/>
        <v>402</v>
      </c>
      <c r="D18" s="3">
        <f t="shared" ca="1" si="4"/>
        <v>141</v>
      </c>
      <c r="L18" s="2" t="s">
        <v>17</v>
      </c>
      <c r="M18" s="6">
        <f t="shared" ca="1" si="0"/>
        <v>378</v>
      </c>
      <c r="N18" s="6">
        <f t="shared" ca="1" si="1"/>
        <v>821</v>
      </c>
      <c r="O18" s="6">
        <f t="shared" ca="1" si="2"/>
        <v>67</v>
      </c>
      <c r="Y18" s="11">
        <v>97.768255673949966</v>
      </c>
      <c r="Z18" s="12">
        <v>48</v>
      </c>
    </row>
    <row r="19" spans="2:26">
      <c r="L19" s="2" t="s">
        <v>18</v>
      </c>
      <c r="M19" s="6">
        <f t="shared" ca="1" si="0"/>
        <v>110</v>
      </c>
      <c r="N19" s="6">
        <f t="shared" ca="1" si="1"/>
        <v>819</v>
      </c>
      <c r="O19" s="6">
        <f t="shared" ca="1" si="2"/>
        <v>75</v>
      </c>
      <c r="Y19" s="11">
        <v>653.9725571499132</v>
      </c>
      <c r="Z19" s="12">
        <v>286</v>
      </c>
    </row>
    <row r="20" spans="2:26">
      <c r="L20" s="2" t="s">
        <v>19</v>
      </c>
      <c r="M20" s="6">
        <f t="shared" ca="1" si="0"/>
        <v>91</v>
      </c>
      <c r="N20" s="6">
        <f t="shared" ca="1" si="1"/>
        <v>816</v>
      </c>
      <c r="O20" s="6">
        <f t="shared" ca="1" si="2"/>
        <v>154</v>
      </c>
      <c r="Y20" s="11">
        <v>600.94608503836639</v>
      </c>
      <c r="Z20" s="12">
        <v>292</v>
      </c>
    </row>
    <row r="21" spans="2:26">
      <c r="L21" s="2" t="s">
        <v>20</v>
      </c>
      <c r="M21" s="6">
        <f t="shared" ca="1" si="0"/>
        <v>410</v>
      </c>
      <c r="N21" s="6">
        <f t="shared" ca="1" si="1"/>
        <v>584</v>
      </c>
      <c r="O21" s="6">
        <f t="shared" ca="1" si="2"/>
        <v>118</v>
      </c>
      <c r="Y21" s="11">
        <v>864.76825567394997</v>
      </c>
      <c r="Z21" s="12">
        <v>431</v>
      </c>
    </row>
    <row r="22" spans="2:26">
      <c r="L22" s="2" t="s">
        <v>21</v>
      </c>
      <c r="M22" s="6">
        <f t="shared" ca="1" si="0"/>
        <v>298</v>
      </c>
      <c r="N22" s="6">
        <f t="shared" ca="1" si="1"/>
        <v>630</v>
      </c>
      <c r="O22" s="6">
        <f t="shared" ca="1" si="2"/>
        <v>65</v>
      </c>
      <c r="Y22" s="11">
        <v>803.20585492194107</v>
      </c>
      <c r="Z22" s="12">
        <v>426</v>
      </c>
    </row>
    <row r="23" spans="2:26">
      <c r="L23" s="2" t="s">
        <v>22</v>
      </c>
      <c r="M23" s="6">
        <f t="shared" ca="1" si="0"/>
        <v>242</v>
      </c>
      <c r="N23" s="6">
        <f t="shared" ca="1" si="1"/>
        <v>488</v>
      </c>
      <c r="O23" s="6">
        <f t="shared" ca="1" si="2"/>
        <v>11</v>
      </c>
      <c r="Y23" s="11">
        <v>803.9725571499132</v>
      </c>
      <c r="Z23" s="12">
        <v>385</v>
      </c>
    </row>
    <row r="24" spans="2:26">
      <c r="L24" s="2" t="s">
        <v>23</v>
      </c>
      <c r="M24" s="6">
        <f t="shared" ca="1" si="0"/>
        <v>174</v>
      </c>
      <c r="N24" s="6">
        <f t="shared" ca="1" si="1"/>
        <v>767</v>
      </c>
      <c r="O24" s="6">
        <f t="shared" ca="1" si="2"/>
        <v>123</v>
      </c>
      <c r="Y24" s="11">
        <v>947.76825567394997</v>
      </c>
      <c r="Z24" s="12">
        <v>441</v>
      </c>
    </row>
    <row r="25" spans="2:26">
      <c r="L25" s="2" t="s">
        <v>24</v>
      </c>
      <c r="M25" s="6">
        <f t="shared" ca="1" si="0"/>
        <v>213</v>
      </c>
      <c r="N25" s="6">
        <f t="shared" ca="1" si="1"/>
        <v>402</v>
      </c>
      <c r="O25" s="6">
        <f t="shared" ca="1" si="2"/>
        <v>180</v>
      </c>
      <c r="Y25" s="11">
        <v>532.94608503836639</v>
      </c>
      <c r="Z25" s="12">
        <v>236</v>
      </c>
    </row>
    <row r="26" spans="2:26">
      <c r="L26" s="2" t="s">
        <v>25</v>
      </c>
      <c r="M26" s="6">
        <f t="shared" ca="1" si="0"/>
        <v>299</v>
      </c>
      <c r="N26" s="6">
        <f t="shared" ca="1" si="1"/>
        <v>510</v>
      </c>
      <c r="O26" s="6">
        <f t="shared" ca="1" si="2"/>
        <v>176</v>
      </c>
      <c r="Y26" s="11">
        <v>359.9725571499132</v>
      </c>
      <c r="Z26" s="12">
        <v>154</v>
      </c>
    </row>
    <row r="27" spans="2:26">
      <c r="L27" s="2" t="s">
        <v>26</v>
      </c>
      <c r="M27" s="6">
        <f t="shared" ca="1" si="0"/>
        <v>450</v>
      </c>
      <c r="N27" s="6">
        <f t="shared" ca="1" si="1"/>
        <v>484</v>
      </c>
      <c r="O27" s="6">
        <f t="shared" ca="1" si="2"/>
        <v>154</v>
      </c>
      <c r="Y27" s="11">
        <v>833.20585492194107</v>
      </c>
      <c r="Z27" s="12">
        <v>439</v>
      </c>
    </row>
    <row r="28" spans="2:26">
      <c r="L28" s="2" t="s">
        <v>27</v>
      </c>
      <c r="M28" s="6">
        <f t="shared" ca="1" si="0"/>
        <v>230</v>
      </c>
      <c r="N28" s="6">
        <f t="shared" ca="1" si="1"/>
        <v>374</v>
      </c>
      <c r="O28" s="6">
        <f t="shared" ca="1" si="2"/>
        <v>106</v>
      </c>
      <c r="Y28" s="11">
        <v>401.9725571499132</v>
      </c>
      <c r="Z28" s="12">
        <v>154</v>
      </c>
    </row>
    <row r="29" spans="2:26">
      <c r="L29" s="2" t="s">
        <v>28</v>
      </c>
      <c r="M29" s="6">
        <f t="shared" ca="1" si="0"/>
        <v>288</v>
      </c>
      <c r="N29" s="6">
        <f t="shared" ca="1" si="1"/>
        <v>725</v>
      </c>
      <c r="O29" s="6">
        <f t="shared" ca="1" si="2"/>
        <v>176</v>
      </c>
      <c r="Y29" s="11">
        <v>903.9725571499132</v>
      </c>
      <c r="Z29" s="12">
        <v>387</v>
      </c>
    </row>
    <row r="30" spans="2:26">
      <c r="L30" s="2" t="s">
        <v>29</v>
      </c>
      <c r="M30" s="6">
        <f t="shared" ca="1" si="0"/>
        <v>56</v>
      </c>
      <c r="N30" s="6">
        <f t="shared" ca="1" si="1"/>
        <v>484</v>
      </c>
      <c r="O30" s="6">
        <f t="shared" ca="1" si="2"/>
        <v>138</v>
      </c>
      <c r="Y30" s="11">
        <v>674.20585492194107</v>
      </c>
      <c r="Z30" s="12">
        <v>319</v>
      </c>
    </row>
    <row r="31" spans="2:26">
      <c r="L31" s="2" t="s">
        <v>30</v>
      </c>
      <c r="M31" s="6">
        <f t="shared" ca="1" si="0"/>
        <v>197</v>
      </c>
      <c r="N31" s="6">
        <f t="shared" ca="1" si="1"/>
        <v>954</v>
      </c>
      <c r="O31" s="6">
        <f t="shared" ca="1" si="2"/>
        <v>77</v>
      </c>
      <c r="Y31" s="11">
        <v>315.94608503836639</v>
      </c>
      <c r="Z31" s="12">
        <v>137</v>
      </c>
    </row>
    <row r="32" spans="2:26">
      <c r="L32" s="2" t="s">
        <v>31</v>
      </c>
      <c r="M32" s="6">
        <f t="shared" ca="1" si="0"/>
        <v>467</v>
      </c>
      <c r="N32" s="6">
        <f t="shared" ca="1" si="1"/>
        <v>957</v>
      </c>
      <c r="O32" s="6">
        <f t="shared" ca="1" si="2"/>
        <v>58</v>
      </c>
      <c r="Y32" s="11">
        <v>730.94608503836639</v>
      </c>
      <c r="Z32" s="12">
        <v>329</v>
      </c>
    </row>
    <row r="33" spans="12:26">
      <c r="L33" s="2" t="s">
        <v>32</v>
      </c>
      <c r="M33" s="6">
        <f t="shared" ca="1" si="0"/>
        <v>162</v>
      </c>
      <c r="N33" s="6">
        <f t="shared" ca="1" si="1"/>
        <v>907</v>
      </c>
      <c r="O33" s="6">
        <f t="shared" ca="1" si="2"/>
        <v>127</v>
      </c>
      <c r="Y33" s="11">
        <v>913.9725571499132</v>
      </c>
      <c r="Z33" s="12">
        <v>432</v>
      </c>
    </row>
    <row r="34" spans="12:26">
      <c r="L34" s="2" t="s">
        <v>33</v>
      </c>
      <c r="M34" s="6">
        <f t="shared" ca="1" si="0"/>
        <v>322</v>
      </c>
      <c r="N34" s="6">
        <f t="shared" ca="1" si="1"/>
        <v>431</v>
      </c>
      <c r="O34" s="6">
        <f t="shared" ca="1" si="2"/>
        <v>41</v>
      </c>
      <c r="Y34" s="11">
        <v>354.20585492194107</v>
      </c>
      <c r="Z34" s="12">
        <v>187</v>
      </c>
    </row>
    <row r="35" spans="12:26">
      <c r="L35" s="2" t="s">
        <v>34</v>
      </c>
      <c r="M35" s="6">
        <f t="shared" ca="1" si="0"/>
        <v>459</v>
      </c>
      <c r="N35" s="6">
        <f t="shared" ca="1" si="1"/>
        <v>564</v>
      </c>
      <c r="O35" s="6">
        <f t="shared" ca="1" si="2"/>
        <v>197</v>
      </c>
      <c r="Y35" s="11">
        <v>330.76825567394997</v>
      </c>
      <c r="Z35" s="12">
        <v>136</v>
      </c>
    </row>
    <row r="36" spans="12:26">
      <c r="L36" s="2" t="s">
        <v>35</v>
      </c>
      <c r="M36" s="6">
        <f t="shared" ca="1" si="0"/>
        <v>219</v>
      </c>
      <c r="N36" s="6">
        <f t="shared" ca="1" si="1"/>
        <v>501</v>
      </c>
      <c r="O36" s="6">
        <f t="shared" ca="1" si="2"/>
        <v>115</v>
      </c>
      <c r="Y36" s="11">
        <v>194.94608503836636</v>
      </c>
      <c r="Z36" s="12">
        <v>142</v>
      </c>
    </row>
    <row r="37" spans="12:26">
      <c r="L37" s="2" t="s">
        <v>36</v>
      </c>
      <c r="M37" s="6">
        <f t="shared" ca="1" si="0"/>
        <v>394</v>
      </c>
      <c r="N37" s="6">
        <f t="shared" ca="1" si="1"/>
        <v>851</v>
      </c>
      <c r="O37" s="6">
        <f t="shared" ca="1" si="2"/>
        <v>67</v>
      </c>
      <c r="Y37" s="11">
        <v>537.20585492194107</v>
      </c>
      <c r="Z37" s="12">
        <v>282</v>
      </c>
    </row>
    <row r="38" spans="12:26">
      <c r="L38" s="2" t="s">
        <v>37</v>
      </c>
      <c r="M38" s="6">
        <f t="shared" ca="1" si="0"/>
        <v>349</v>
      </c>
      <c r="N38" s="6">
        <f t="shared" ca="1" si="1"/>
        <v>421</v>
      </c>
      <c r="O38" s="6">
        <f t="shared" ca="1" si="2"/>
        <v>73</v>
      </c>
      <c r="Y38" s="11">
        <v>531.94608503836639</v>
      </c>
      <c r="Z38" s="12">
        <v>241</v>
      </c>
    </row>
    <row r="39" spans="12:26">
      <c r="L39" s="2" t="s">
        <v>38</v>
      </c>
      <c r="M39" s="6">
        <f t="shared" ca="1" si="0"/>
        <v>295</v>
      </c>
      <c r="N39" s="6">
        <f t="shared" ca="1" si="1"/>
        <v>451</v>
      </c>
      <c r="O39" s="6">
        <f t="shared" ca="1" si="2"/>
        <v>28</v>
      </c>
      <c r="Y39" s="11">
        <v>335.76825567394997</v>
      </c>
      <c r="Z39" s="12">
        <v>181</v>
      </c>
    </row>
    <row r="40" spans="12:26">
      <c r="L40" s="2" t="s">
        <v>39</v>
      </c>
      <c r="M40" s="6">
        <f t="shared" ca="1" si="0"/>
        <v>239</v>
      </c>
      <c r="N40" s="6">
        <f t="shared" ca="1" si="1"/>
        <v>727</v>
      </c>
      <c r="O40" s="6">
        <f t="shared" ca="1" si="2"/>
        <v>178</v>
      </c>
      <c r="Y40" s="11">
        <v>865.20585492194107</v>
      </c>
      <c r="Z40" s="12">
        <v>429</v>
      </c>
    </row>
    <row r="41" spans="12:26">
      <c r="L41" s="2" t="s">
        <v>40</v>
      </c>
      <c r="M41" s="6">
        <f t="shared" ca="1" si="0"/>
        <v>122</v>
      </c>
      <c r="N41" s="6">
        <f t="shared" ca="1" si="1"/>
        <v>488</v>
      </c>
      <c r="O41" s="6">
        <f t="shared" ca="1" si="2"/>
        <v>127</v>
      </c>
      <c r="Y41" s="11">
        <v>429.94608503836639</v>
      </c>
      <c r="Z41" s="12">
        <v>175</v>
      </c>
    </row>
    <row r="42" spans="12:26">
      <c r="L42" s="2" t="s">
        <v>41</v>
      </c>
      <c r="M42" s="6">
        <f t="shared" ca="1" si="0"/>
        <v>155</v>
      </c>
      <c r="N42" s="6">
        <f t="shared" ca="1" si="1"/>
        <v>635</v>
      </c>
      <c r="O42" s="6">
        <f t="shared" ca="1" si="2"/>
        <v>141</v>
      </c>
      <c r="Y42" s="11">
        <v>740.9725571499132</v>
      </c>
      <c r="Z42" s="12">
        <v>376</v>
      </c>
    </row>
    <row r="43" spans="12:26">
      <c r="L43" s="2" t="s">
        <v>42</v>
      </c>
      <c r="M43" s="6">
        <f t="shared" ca="1" si="0"/>
        <v>148</v>
      </c>
      <c r="N43" s="6">
        <f t="shared" ca="1" si="1"/>
        <v>571</v>
      </c>
      <c r="O43" s="6">
        <f t="shared" ca="1" si="2"/>
        <v>193</v>
      </c>
      <c r="Y43" s="11">
        <v>303.94608503836639</v>
      </c>
      <c r="Z43" s="12">
        <v>165</v>
      </c>
    </row>
    <row r="44" spans="12:26">
      <c r="L44" s="2" t="s">
        <v>43</v>
      </c>
      <c r="M44" s="6">
        <f t="shared" ca="1" si="0"/>
        <v>312</v>
      </c>
      <c r="N44" s="6">
        <f t="shared" ca="1" si="1"/>
        <v>839</v>
      </c>
      <c r="O44" s="6">
        <f t="shared" ca="1" si="2"/>
        <v>43</v>
      </c>
      <c r="Y44" s="11">
        <v>200.97255714991323</v>
      </c>
      <c r="Z44" s="12">
        <v>95</v>
      </c>
    </row>
    <row r="45" spans="12:26">
      <c r="L45" s="2" t="s">
        <v>44</v>
      </c>
      <c r="M45" s="6">
        <f t="shared" ca="1" si="0"/>
        <v>354</v>
      </c>
      <c r="N45" s="6">
        <f t="shared" ca="1" si="1"/>
        <v>701</v>
      </c>
      <c r="O45" s="6">
        <f t="shared" ca="1" si="2"/>
        <v>88</v>
      </c>
      <c r="Y45" s="11">
        <v>771.85004357472712</v>
      </c>
      <c r="Z45" s="12">
        <v>342</v>
      </c>
    </row>
    <row r="46" spans="12:26">
      <c r="L46" s="2" t="s">
        <v>45</v>
      </c>
      <c r="M46" s="6">
        <f t="shared" ca="1" si="0"/>
        <v>338</v>
      </c>
      <c r="N46" s="6">
        <f t="shared" ca="1" si="1"/>
        <v>828</v>
      </c>
      <c r="O46" s="6">
        <f t="shared" ca="1" si="2"/>
        <v>174</v>
      </c>
      <c r="Y46" s="11">
        <v>422.85004357472712</v>
      </c>
      <c r="Z46" s="12">
        <v>166</v>
      </c>
    </row>
    <row r="47" spans="12:26">
      <c r="L47" s="2" t="s">
        <v>46</v>
      </c>
      <c r="M47" s="6">
        <f t="shared" ca="1" si="0"/>
        <v>444</v>
      </c>
      <c r="N47" s="6">
        <f t="shared" ca="1" si="1"/>
        <v>779</v>
      </c>
      <c r="O47" s="6">
        <f t="shared" ca="1" si="2"/>
        <v>82</v>
      </c>
      <c r="Y47" s="11">
        <v>709.76825567394997</v>
      </c>
      <c r="Z47" s="12">
        <v>341</v>
      </c>
    </row>
    <row r="48" spans="12:26">
      <c r="L48" s="2" t="s">
        <v>47</v>
      </c>
      <c r="M48" s="6">
        <f t="shared" ca="1" si="0"/>
        <v>380</v>
      </c>
      <c r="N48" s="6">
        <f t="shared" ca="1" si="1"/>
        <v>662</v>
      </c>
      <c r="O48" s="6">
        <f t="shared" ca="1" si="2"/>
        <v>84</v>
      </c>
      <c r="Y48" s="11">
        <v>783.20585492194107</v>
      </c>
      <c r="Z48" s="12">
        <v>378</v>
      </c>
    </row>
    <row r="49" spans="12:26">
      <c r="L49" s="2" t="s">
        <v>48</v>
      </c>
      <c r="M49" s="6">
        <f t="shared" ca="1" si="0"/>
        <v>87</v>
      </c>
      <c r="N49" s="6">
        <f t="shared" ca="1" si="1"/>
        <v>339</v>
      </c>
      <c r="O49" s="6">
        <f t="shared" ca="1" si="2"/>
        <v>154</v>
      </c>
      <c r="Y49" s="11">
        <v>684.76825567394997</v>
      </c>
      <c r="Z49" s="12">
        <v>311</v>
      </c>
    </row>
    <row r="50" spans="12:26">
      <c r="L50" s="2" t="s">
        <v>49</v>
      </c>
      <c r="M50" s="6">
        <f t="shared" ca="1" si="0"/>
        <v>320</v>
      </c>
      <c r="N50" s="6">
        <f t="shared" ca="1" si="1"/>
        <v>430</v>
      </c>
      <c r="O50" s="6">
        <f t="shared" ca="1" si="2"/>
        <v>175</v>
      </c>
      <c r="Y50" s="11">
        <v>614.20585492194107</v>
      </c>
      <c r="Z50" s="12">
        <v>326</v>
      </c>
    </row>
    <row r="51" spans="12:26">
      <c r="L51" s="2" t="s">
        <v>50</v>
      </c>
      <c r="M51" s="6">
        <f t="shared" ca="1" si="0"/>
        <v>156</v>
      </c>
      <c r="N51" s="6">
        <f t="shared" ca="1" si="1"/>
        <v>782</v>
      </c>
      <c r="O51" s="6">
        <f t="shared" ca="1" si="2"/>
        <v>60</v>
      </c>
      <c r="Y51" s="11">
        <v>674.85004357472712</v>
      </c>
      <c r="Z51" s="12">
        <v>299</v>
      </c>
    </row>
    <row r="52" spans="12:26">
      <c r="L52" s="2" t="s">
        <v>51</v>
      </c>
      <c r="M52" s="6">
        <f t="shared" ca="1" si="0"/>
        <v>256</v>
      </c>
      <c r="N52" s="6">
        <f t="shared" ca="1" si="1"/>
        <v>749</v>
      </c>
      <c r="O52" s="6">
        <f t="shared" ca="1" si="2"/>
        <v>47</v>
      </c>
      <c r="Y52" s="11">
        <v>877.76825567394997</v>
      </c>
      <c r="Z52" s="12">
        <v>450</v>
      </c>
    </row>
    <row r="53" spans="12:26">
      <c r="L53" s="2" t="s">
        <v>52</v>
      </c>
      <c r="M53" s="6">
        <f t="shared" ca="1" si="0"/>
        <v>431</v>
      </c>
      <c r="N53" s="6">
        <f t="shared" ca="1" si="1"/>
        <v>470</v>
      </c>
      <c r="O53" s="6">
        <f t="shared" ca="1" si="2"/>
        <v>192</v>
      </c>
      <c r="Y53" s="11">
        <v>578.85004357472712</v>
      </c>
      <c r="Z53" s="12">
        <v>276</v>
      </c>
    </row>
    <row r="54" spans="12:26">
      <c r="L54" s="2" t="s">
        <v>53</v>
      </c>
      <c r="M54" s="6">
        <f t="shared" ca="1" si="0"/>
        <v>118</v>
      </c>
      <c r="N54" s="6">
        <f t="shared" ca="1" si="1"/>
        <v>817</v>
      </c>
      <c r="O54" s="6">
        <f t="shared" ca="1" si="2"/>
        <v>109</v>
      </c>
      <c r="Y54" s="11">
        <v>98.946085038366363</v>
      </c>
      <c r="Z54" s="12">
        <v>37</v>
      </c>
    </row>
    <row r="55" spans="12:26">
      <c r="L55" s="2" t="s">
        <v>54</v>
      </c>
      <c r="M55" s="6">
        <f t="shared" ca="1" si="0"/>
        <v>65</v>
      </c>
      <c r="N55" s="6">
        <f t="shared" ca="1" si="1"/>
        <v>932</v>
      </c>
      <c r="O55" s="6">
        <f t="shared" ca="1" si="2"/>
        <v>184</v>
      </c>
      <c r="Y55" s="11">
        <v>50.205854921941096</v>
      </c>
      <c r="Z55" s="12">
        <v>55</v>
      </c>
    </row>
    <row r="56" spans="12:26">
      <c r="L56" s="2" t="s">
        <v>55</v>
      </c>
      <c r="M56" s="6">
        <f t="shared" ca="1" si="0"/>
        <v>232</v>
      </c>
      <c r="N56" s="6">
        <f t="shared" ca="1" si="1"/>
        <v>466</v>
      </c>
      <c r="O56" s="6">
        <f t="shared" ca="1" si="2"/>
        <v>165</v>
      </c>
      <c r="Y56" s="11">
        <v>759.9725571499132</v>
      </c>
      <c r="Z56" s="12">
        <v>356</v>
      </c>
    </row>
    <row r="57" spans="12:26">
      <c r="L57" s="2" t="s">
        <v>56</v>
      </c>
      <c r="M57" s="6">
        <f t="shared" ca="1" si="0"/>
        <v>167</v>
      </c>
      <c r="N57" s="6">
        <f t="shared" ca="1" si="1"/>
        <v>377</v>
      </c>
      <c r="O57" s="6">
        <f t="shared" ca="1" si="2"/>
        <v>193</v>
      </c>
      <c r="Y57" s="11">
        <v>874.94608503836639</v>
      </c>
      <c r="Z57" s="12">
        <v>404</v>
      </c>
    </row>
    <row r="58" spans="12:26">
      <c r="L58" s="2" t="s">
        <v>57</v>
      </c>
      <c r="M58" s="6">
        <f t="shared" ca="1" si="0"/>
        <v>435</v>
      </c>
      <c r="N58" s="6">
        <f t="shared" ca="1" si="1"/>
        <v>332</v>
      </c>
      <c r="O58" s="6">
        <f t="shared" ca="1" si="2"/>
        <v>36</v>
      </c>
      <c r="Y58" s="11">
        <v>106.2058549219411</v>
      </c>
      <c r="Z58" s="12">
        <v>45</v>
      </c>
    </row>
    <row r="59" spans="12:26">
      <c r="L59" s="2" t="s">
        <v>58</v>
      </c>
      <c r="M59" s="6">
        <f t="shared" ca="1" si="0"/>
        <v>319</v>
      </c>
      <c r="N59" s="6">
        <f t="shared" ca="1" si="1"/>
        <v>808</v>
      </c>
      <c r="O59" s="6">
        <f t="shared" ca="1" si="2"/>
        <v>103</v>
      </c>
      <c r="Y59" s="11">
        <v>336.85004357472712</v>
      </c>
      <c r="Z59" s="12">
        <v>153</v>
      </c>
    </row>
    <row r="60" spans="12:26">
      <c r="L60" s="2" t="s">
        <v>59</v>
      </c>
      <c r="M60" s="6">
        <f t="shared" ca="1" si="0"/>
        <v>115</v>
      </c>
      <c r="N60" s="6">
        <f t="shared" ca="1" si="1"/>
        <v>888</v>
      </c>
      <c r="O60" s="6">
        <f t="shared" ca="1" si="2"/>
        <v>107</v>
      </c>
    </row>
    <row r="61" spans="12:26">
      <c r="L61" s="2" t="s">
        <v>60</v>
      </c>
      <c r="M61" s="6">
        <f t="shared" ca="1" si="0"/>
        <v>276</v>
      </c>
      <c r="N61" s="6">
        <f t="shared" ca="1" si="1"/>
        <v>338</v>
      </c>
      <c r="O61" s="6">
        <f t="shared" ca="1" si="2"/>
        <v>173</v>
      </c>
    </row>
    <row r="62" spans="12:26">
      <c r="L62" s="2" t="s">
        <v>61</v>
      </c>
      <c r="M62" s="6">
        <f t="shared" ca="1" si="0"/>
        <v>115</v>
      </c>
      <c r="N62" s="6">
        <f t="shared" ca="1" si="1"/>
        <v>309</v>
      </c>
      <c r="O62" s="6">
        <f t="shared" ca="1" si="2"/>
        <v>171</v>
      </c>
    </row>
    <row r="63" spans="12:26">
      <c r="L63" s="2" t="s">
        <v>62</v>
      </c>
      <c r="M63" s="6">
        <f t="shared" ca="1" si="0"/>
        <v>327</v>
      </c>
      <c r="N63" s="6">
        <f t="shared" ca="1" si="1"/>
        <v>888</v>
      </c>
      <c r="O63" s="6">
        <f t="shared" ca="1" si="2"/>
        <v>97</v>
      </c>
    </row>
    <row r="64" spans="12:26">
      <c r="L64" s="2" t="s">
        <v>63</v>
      </c>
      <c r="M64" s="6">
        <f t="shared" ca="1" si="0"/>
        <v>77</v>
      </c>
      <c r="N64" s="6">
        <f t="shared" ca="1" si="1"/>
        <v>786</v>
      </c>
      <c r="O64" s="6">
        <f t="shared" ca="1" si="2"/>
        <v>22</v>
      </c>
    </row>
    <row r="65" spans="12:15">
      <c r="L65" s="2" t="s">
        <v>64</v>
      </c>
      <c r="M65" s="6">
        <f t="shared" ca="1" si="0"/>
        <v>142</v>
      </c>
      <c r="N65" s="6">
        <f t="shared" ca="1" si="1"/>
        <v>790</v>
      </c>
      <c r="O65" s="6">
        <f t="shared" ca="1" si="2"/>
        <v>90</v>
      </c>
    </row>
    <row r="66" spans="12:15">
      <c r="L66" s="2" t="s">
        <v>65</v>
      </c>
      <c r="M66" s="6">
        <f t="shared" ca="1" si="0"/>
        <v>413</v>
      </c>
      <c r="N66" s="6">
        <f t="shared" ca="1" si="1"/>
        <v>659</v>
      </c>
      <c r="O66" s="6">
        <f t="shared" ca="1" si="2"/>
        <v>196</v>
      </c>
    </row>
    <row r="67" spans="12:15">
      <c r="L67" s="2" t="s">
        <v>66</v>
      </c>
      <c r="M67" s="6">
        <f t="shared" ref="M67:M99" ca="1" si="5">RANDBETWEEN(50,500)</f>
        <v>462</v>
      </c>
      <c r="N67" s="6">
        <f t="shared" ref="N67:N99" ca="1" si="6">RANDBETWEEN(300,1000)</f>
        <v>539</v>
      </c>
      <c r="O67" s="6">
        <f t="shared" ref="O67:O99" ca="1" si="7">RANDBETWEEN(10,200)</f>
        <v>170</v>
      </c>
    </row>
    <row r="68" spans="12:15">
      <c r="L68" s="2" t="s">
        <v>67</v>
      </c>
      <c r="M68" s="6">
        <f t="shared" ca="1" si="5"/>
        <v>356</v>
      </c>
      <c r="N68" s="6">
        <f t="shared" ca="1" si="6"/>
        <v>815</v>
      </c>
      <c r="O68" s="6">
        <f t="shared" ca="1" si="7"/>
        <v>105</v>
      </c>
    </row>
    <row r="69" spans="12:15">
      <c r="L69" s="2" t="s">
        <v>68</v>
      </c>
      <c r="M69" s="6">
        <f t="shared" ca="1" si="5"/>
        <v>481</v>
      </c>
      <c r="N69" s="6">
        <f t="shared" ca="1" si="6"/>
        <v>957</v>
      </c>
      <c r="O69" s="6">
        <f t="shared" ca="1" si="7"/>
        <v>194</v>
      </c>
    </row>
    <row r="70" spans="12:15">
      <c r="L70" s="2" t="s">
        <v>69</v>
      </c>
      <c r="M70" s="6">
        <f t="shared" ca="1" si="5"/>
        <v>200</v>
      </c>
      <c r="N70" s="6">
        <f t="shared" ca="1" si="6"/>
        <v>998</v>
      </c>
      <c r="O70" s="6">
        <f t="shared" ca="1" si="7"/>
        <v>137</v>
      </c>
    </row>
    <row r="71" spans="12:15">
      <c r="L71" s="2" t="s">
        <v>70</v>
      </c>
      <c r="M71" s="6">
        <f t="shared" ca="1" si="5"/>
        <v>116</v>
      </c>
      <c r="N71" s="6">
        <f t="shared" ca="1" si="6"/>
        <v>556</v>
      </c>
      <c r="O71" s="6">
        <f t="shared" ca="1" si="7"/>
        <v>152</v>
      </c>
    </row>
    <row r="72" spans="12:15">
      <c r="L72" s="2" t="s">
        <v>71</v>
      </c>
      <c r="M72" s="6">
        <f t="shared" ca="1" si="5"/>
        <v>280</v>
      </c>
      <c r="N72" s="6">
        <f t="shared" ca="1" si="6"/>
        <v>582</v>
      </c>
      <c r="O72" s="6">
        <f t="shared" ca="1" si="7"/>
        <v>132</v>
      </c>
    </row>
    <row r="73" spans="12:15">
      <c r="L73" s="2" t="s">
        <v>72</v>
      </c>
      <c r="M73" s="6">
        <f t="shared" ca="1" si="5"/>
        <v>103</v>
      </c>
      <c r="N73" s="6">
        <f t="shared" ca="1" si="6"/>
        <v>336</v>
      </c>
      <c r="O73" s="6">
        <f t="shared" ca="1" si="7"/>
        <v>74</v>
      </c>
    </row>
    <row r="74" spans="12:15">
      <c r="L74" s="2" t="s">
        <v>73</v>
      </c>
      <c r="M74" s="6">
        <f t="shared" ca="1" si="5"/>
        <v>256</v>
      </c>
      <c r="N74" s="6">
        <f t="shared" ca="1" si="6"/>
        <v>387</v>
      </c>
      <c r="O74" s="6">
        <f t="shared" ca="1" si="7"/>
        <v>118</v>
      </c>
    </row>
    <row r="75" spans="12:15">
      <c r="L75" s="2" t="s">
        <v>74</v>
      </c>
      <c r="M75" s="6">
        <f t="shared" ca="1" si="5"/>
        <v>65</v>
      </c>
      <c r="N75" s="6">
        <f t="shared" ca="1" si="6"/>
        <v>348</v>
      </c>
      <c r="O75" s="6">
        <f t="shared" ca="1" si="7"/>
        <v>67</v>
      </c>
    </row>
    <row r="76" spans="12:15">
      <c r="L76" s="2" t="s">
        <v>75</v>
      </c>
      <c r="M76" s="6">
        <f t="shared" ca="1" si="5"/>
        <v>50</v>
      </c>
      <c r="N76" s="6">
        <f t="shared" ca="1" si="6"/>
        <v>409</v>
      </c>
      <c r="O76" s="6">
        <f t="shared" ca="1" si="7"/>
        <v>197</v>
      </c>
    </row>
    <row r="77" spans="12:15">
      <c r="L77" s="2" t="s">
        <v>76</v>
      </c>
      <c r="M77" s="6">
        <f t="shared" ca="1" si="5"/>
        <v>148</v>
      </c>
      <c r="N77" s="6">
        <f t="shared" ca="1" si="6"/>
        <v>848</v>
      </c>
      <c r="O77" s="6">
        <f t="shared" ca="1" si="7"/>
        <v>27</v>
      </c>
    </row>
    <row r="78" spans="12:15">
      <c r="L78" s="2" t="s">
        <v>77</v>
      </c>
      <c r="M78" s="6">
        <f t="shared" ca="1" si="5"/>
        <v>267</v>
      </c>
      <c r="N78" s="6">
        <f t="shared" ca="1" si="6"/>
        <v>588</v>
      </c>
      <c r="O78" s="6">
        <f t="shared" ca="1" si="7"/>
        <v>160</v>
      </c>
    </row>
    <row r="79" spans="12:15">
      <c r="L79" s="2" t="s">
        <v>78</v>
      </c>
      <c r="M79" s="6">
        <f t="shared" ca="1" si="5"/>
        <v>344</v>
      </c>
      <c r="N79" s="6">
        <f t="shared" ca="1" si="6"/>
        <v>850</v>
      </c>
      <c r="O79" s="6">
        <f t="shared" ca="1" si="7"/>
        <v>82</v>
      </c>
    </row>
    <row r="80" spans="12:15">
      <c r="L80" s="2" t="s">
        <v>79</v>
      </c>
      <c r="M80" s="6">
        <f t="shared" ca="1" si="5"/>
        <v>99</v>
      </c>
      <c r="N80" s="6">
        <f t="shared" ca="1" si="6"/>
        <v>544</v>
      </c>
      <c r="O80" s="6">
        <f t="shared" ca="1" si="7"/>
        <v>137</v>
      </c>
    </row>
    <row r="81" spans="12:15">
      <c r="L81" s="2" t="s">
        <v>80</v>
      </c>
      <c r="M81" s="6">
        <f t="shared" ca="1" si="5"/>
        <v>366</v>
      </c>
      <c r="N81" s="6">
        <f t="shared" ca="1" si="6"/>
        <v>561</v>
      </c>
      <c r="O81" s="6">
        <f t="shared" ca="1" si="7"/>
        <v>179</v>
      </c>
    </row>
    <row r="82" spans="12:15">
      <c r="L82" s="2" t="s">
        <v>81</v>
      </c>
      <c r="M82" s="6">
        <f t="shared" ca="1" si="5"/>
        <v>448</v>
      </c>
      <c r="N82" s="6">
        <f t="shared" ca="1" si="6"/>
        <v>540</v>
      </c>
      <c r="O82" s="6">
        <f t="shared" ca="1" si="7"/>
        <v>94</v>
      </c>
    </row>
    <row r="83" spans="12:15">
      <c r="L83" s="2" t="s">
        <v>82</v>
      </c>
      <c r="M83" s="6">
        <f t="shared" ca="1" si="5"/>
        <v>72</v>
      </c>
      <c r="N83" s="6">
        <f t="shared" ca="1" si="6"/>
        <v>587</v>
      </c>
      <c r="O83" s="6">
        <f t="shared" ca="1" si="7"/>
        <v>176</v>
      </c>
    </row>
    <row r="84" spans="12:15">
      <c r="L84" s="2" t="s">
        <v>83</v>
      </c>
      <c r="M84" s="6">
        <f t="shared" ca="1" si="5"/>
        <v>196</v>
      </c>
      <c r="N84" s="6">
        <f t="shared" ca="1" si="6"/>
        <v>306</v>
      </c>
      <c r="O84" s="6">
        <f t="shared" ca="1" si="7"/>
        <v>171</v>
      </c>
    </row>
    <row r="85" spans="12:15">
      <c r="L85" s="2" t="s">
        <v>84</v>
      </c>
      <c r="M85" s="6">
        <f t="shared" ca="1" si="5"/>
        <v>391</v>
      </c>
      <c r="N85" s="6">
        <f t="shared" ca="1" si="6"/>
        <v>957</v>
      </c>
      <c r="O85" s="6">
        <f t="shared" ca="1" si="7"/>
        <v>125</v>
      </c>
    </row>
    <row r="86" spans="12:15">
      <c r="L86" s="2" t="s">
        <v>85</v>
      </c>
      <c r="M86" s="6">
        <f t="shared" ca="1" si="5"/>
        <v>138</v>
      </c>
      <c r="N86" s="6">
        <f t="shared" ca="1" si="6"/>
        <v>350</v>
      </c>
      <c r="O86" s="6">
        <f t="shared" ca="1" si="7"/>
        <v>45</v>
      </c>
    </row>
    <row r="87" spans="12:15">
      <c r="L87" s="2" t="s">
        <v>86</v>
      </c>
      <c r="M87" s="6">
        <f t="shared" ca="1" si="5"/>
        <v>92</v>
      </c>
      <c r="N87" s="6">
        <f t="shared" ca="1" si="6"/>
        <v>868</v>
      </c>
      <c r="O87" s="6">
        <f t="shared" ca="1" si="7"/>
        <v>150</v>
      </c>
    </row>
    <row r="88" spans="12:15">
      <c r="L88" s="2" t="s">
        <v>87</v>
      </c>
      <c r="M88" s="6">
        <f t="shared" ca="1" si="5"/>
        <v>369</v>
      </c>
      <c r="N88" s="6">
        <f t="shared" ca="1" si="6"/>
        <v>645</v>
      </c>
      <c r="O88" s="6">
        <f t="shared" ca="1" si="7"/>
        <v>200</v>
      </c>
    </row>
    <row r="89" spans="12:15">
      <c r="L89" s="2" t="s">
        <v>88</v>
      </c>
      <c r="M89" s="6">
        <f t="shared" ca="1" si="5"/>
        <v>142</v>
      </c>
      <c r="N89" s="6">
        <f t="shared" ca="1" si="6"/>
        <v>577</v>
      </c>
      <c r="O89" s="6">
        <f t="shared" ca="1" si="7"/>
        <v>52</v>
      </c>
    </row>
    <row r="90" spans="12:15">
      <c r="L90" s="2" t="s">
        <v>89</v>
      </c>
      <c r="M90" s="6">
        <f t="shared" ca="1" si="5"/>
        <v>167</v>
      </c>
      <c r="N90" s="6">
        <f t="shared" ca="1" si="6"/>
        <v>803</v>
      </c>
      <c r="O90" s="6">
        <f t="shared" ca="1" si="7"/>
        <v>49</v>
      </c>
    </row>
    <row r="91" spans="12:15">
      <c r="L91" s="2" t="s">
        <v>90</v>
      </c>
      <c r="M91" s="6">
        <f t="shared" ca="1" si="5"/>
        <v>157</v>
      </c>
      <c r="N91" s="6">
        <f t="shared" ca="1" si="6"/>
        <v>756</v>
      </c>
      <c r="O91" s="6">
        <f t="shared" ca="1" si="7"/>
        <v>149</v>
      </c>
    </row>
    <row r="92" spans="12:15">
      <c r="L92" s="2" t="s">
        <v>91</v>
      </c>
      <c r="M92" s="6">
        <f t="shared" ca="1" si="5"/>
        <v>361</v>
      </c>
      <c r="N92" s="6">
        <f t="shared" ca="1" si="6"/>
        <v>767</v>
      </c>
      <c r="O92" s="6">
        <f t="shared" ca="1" si="7"/>
        <v>64</v>
      </c>
    </row>
    <row r="93" spans="12:15">
      <c r="L93" s="2" t="s">
        <v>92</v>
      </c>
      <c r="M93" s="6">
        <f t="shared" ca="1" si="5"/>
        <v>128</v>
      </c>
      <c r="N93" s="6">
        <f t="shared" ca="1" si="6"/>
        <v>815</v>
      </c>
      <c r="O93" s="6">
        <f t="shared" ca="1" si="7"/>
        <v>164</v>
      </c>
    </row>
    <row r="94" spans="12:15">
      <c r="L94" s="2" t="s">
        <v>93</v>
      </c>
      <c r="M94" s="6">
        <f t="shared" ca="1" si="5"/>
        <v>487</v>
      </c>
      <c r="N94" s="6">
        <f t="shared" ca="1" si="6"/>
        <v>431</v>
      </c>
      <c r="O94" s="6">
        <f t="shared" ca="1" si="7"/>
        <v>103</v>
      </c>
    </row>
    <row r="95" spans="12:15">
      <c r="L95" s="2" t="s">
        <v>94</v>
      </c>
      <c r="M95" s="6">
        <f t="shared" ca="1" si="5"/>
        <v>316</v>
      </c>
      <c r="N95" s="6">
        <f t="shared" ca="1" si="6"/>
        <v>757</v>
      </c>
      <c r="O95" s="6">
        <f t="shared" ca="1" si="7"/>
        <v>189</v>
      </c>
    </row>
    <row r="96" spans="12:15">
      <c r="L96" s="2" t="s">
        <v>95</v>
      </c>
      <c r="M96" s="6">
        <f t="shared" ca="1" si="5"/>
        <v>139</v>
      </c>
      <c r="N96" s="6">
        <f t="shared" ca="1" si="6"/>
        <v>614</v>
      </c>
      <c r="O96" s="6">
        <f t="shared" ca="1" si="7"/>
        <v>183</v>
      </c>
    </row>
    <row r="97" spans="12:15">
      <c r="L97" s="2" t="s">
        <v>96</v>
      </c>
      <c r="M97" s="6">
        <f t="shared" ca="1" si="5"/>
        <v>412</v>
      </c>
      <c r="N97" s="6">
        <f t="shared" ca="1" si="6"/>
        <v>836</v>
      </c>
      <c r="O97" s="6">
        <f t="shared" ca="1" si="7"/>
        <v>21</v>
      </c>
    </row>
    <row r="98" spans="12:15">
      <c r="L98" s="2" t="s">
        <v>97</v>
      </c>
      <c r="M98" s="6">
        <f t="shared" ca="1" si="5"/>
        <v>416</v>
      </c>
      <c r="N98" s="6">
        <f t="shared" ca="1" si="6"/>
        <v>585</v>
      </c>
      <c r="O98" s="6">
        <f t="shared" ca="1" si="7"/>
        <v>82</v>
      </c>
    </row>
    <row r="99" spans="12:15">
      <c r="L99" s="2" t="s">
        <v>98</v>
      </c>
      <c r="M99" s="6">
        <f t="shared" ca="1" si="5"/>
        <v>296</v>
      </c>
      <c r="N99" s="6">
        <f t="shared" ca="1" si="6"/>
        <v>640</v>
      </c>
      <c r="O99" s="6">
        <f t="shared" ca="1" si="7"/>
        <v>14</v>
      </c>
    </row>
  </sheetData>
  <mergeCells count="2">
    <mergeCell ref="K5:K12"/>
    <mergeCell ref="X4:X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lynne</dc:creator>
  <cp:lastModifiedBy>liu lynne</cp:lastModifiedBy>
  <dcterms:created xsi:type="dcterms:W3CDTF">2024-10-31T02:05:16Z</dcterms:created>
  <dcterms:modified xsi:type="dcterms:W3CDTF">2024-10-31T08:13:58Z</dcterms:modified>
</cp:coreProperties>
</file>