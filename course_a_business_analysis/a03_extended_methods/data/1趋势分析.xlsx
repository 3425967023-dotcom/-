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外发/"/>
    </mc:Choice>
  </mc:AlternateContent>
  <xr:revisionPtr revIDLastSave="0" documentId="13_ncr:1_{4224E65D-60B2-324E-98F0-D947619604AE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趋势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6" i="1"/>
  <c r="C45" i="1"/>
  <c r="C44" i="1"/>
  <c r="C43" i="1"/>
  <c r="C42" i="1"/>
  <c r="C41" i="1"/>
  <c r="C40" i="1"/>
  <c r="C39" i="1"/>
  <c r="C38" i="1"/>
  <c r="C37" i="1"/>
  <c r="C36" i="1"/>
  <c r="C29" i="1"/>
  <c r="C20" i="1"/>
  <c r="C21" i="1"/>
  <c r="C22" i="1"/>
  <c r="C23" i="1"/>
  <c r="C24" i="1"/>
  <c r="C25" i="1"/>
  <c r="C26" i="1"/>
  <c r="C27" i="1"/>
  <c r="C28" i="1"/>
  <c r="C19" i="1"/>
  <c r="C4" i="1"/>
  <c r="C5" i="1"/>
  <c r="C6" i="1"/>
  <c r="C7" i="1"/>
  <c r="C8" i="1"/>
  <c r="C9" i="1"/>
  <c r="C10" i="1"/>
  <c r="C11" i="1"/>
  <c r="C12" i="1"/>
  <c r="C13" i="1"/>
  <c r="C3" i="1"/>
  <c r="D43" i="1" l="1"/>
  <c r="D45" i="1"/>
  <c r="D41" i="1"/>
  <c r="D42" i="1"/>
  <c r="D44" i="1"/>
  <c r="D39" i="1"/>
  <c r="D40" i="1"/>
  <c r="D37" i="1"/>
  <c r="D46" i="1"/>
  <c r="D38" i="1"/>
  <c r="D47" i="1"/>
  <c r="D28" i="1"/>
  <c r="D27" i="1"/>
  <c r="D25" i="1"/>
  <c r="D24" i="1"/>
  <c r="D20" i="1"/>
  <c r="D29" i="1"/>
  <c r="D26" i="1"/>
  <c r="D19" i="1"/>
  <c r="D23" i="1"/>
  <c r="D22" i="1"/>
  <c r="D21" i="1"/>
</calcChain>
</file>

<file path=xl/sharedStrings.xml><?xml version="1.0" encoding="utf-8"?>
<sst xmlns="http://schemas.openxmlformats.org/spreadsheetml/2006/main" count="23" uniqueCount="22">
  <si>
    <t>year</t>
    <phoneticPr fontId="3" type="noConversion"/>
  </si>
  <si>
    <t>周</t>
    <phoneticPr fontId="3" type="noConversion"/>
  </si>
  <si>
    <t>订单量（单位：个）</t>
    <phoneticPr fontId="3" type="noConversion"/>
  </si>
  <si>
    <t>平均处理时长（单位：小时）</t>
    <phoneticPr fontId="3" type="noConversion"/>
  </si>
  <si>
    <t>week1</t>
    <phoneticPr fontId="3" type="noConversion"/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</si>
  <si>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</si>
  <si>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</si>
  <si>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</si>
  <si>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</si>
  <si>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</si>
  <si>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</si>
  <si>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</si>
  <si>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</si>
  <si>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</si>
  <si>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</si>
  <si>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平均时长（单位：小时）</t>
    <phoneticPr fontId="3" type="noConversion"/>
  </si>
  <si>
    <t>预警值</t>
    <phoneticPr fontId="3" type="noConversion"/>
  </si>
  <si>
    <t>月</t>
    <phoneticPr fontId="3" type="noConversion"/>
  </si>
  <si>
    <t>环比增幅</t>
    <phoneticPr fontId="3" type="noConversion"/>
  </si>
  <si>
    <t>近 10 年订单量波动趋势图</t>
    <phoneticPr fontId="3" type="noConversion"/>
  </si>
  <si>
    <t>从第 1-11 周，外号平均处理时长波动趋势图，最长时间比均值多了多少</t>
    <phoneticPr fontId="3" type="noConversion"/>
  </si>
  <si>
    <t>各月订单量及环比增幅的趋势图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</si>
</sst>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EFA6-DE8E-6442-9F7F-B7FB976D2274}">
  <dimension ref="A1:E71"/>
  <sheetViews>
    <sheetView tabSelected="1" topLeftCell="A23" workbookViewId="0">
      <selection activeCell="B33" sqref="B33"/>
    </sheetView>
  </sheetViews>
  <sheetFormatPr baseColWidth="10" defaultRowHeight="16"/>
  <cols>
    <col min="1" max="1" width="1.5" style="1" customWidth="1"/>
    <col min="2" max="2" width="10.83203125" style="1"/>
    <col min="3" max="3" width="28.83203125" style="1" customWidth="1"/>
    <col min="4" max="4" width="20.83203125" style="1" customWidth="1"/>
    <col min="5" max="16384" width="10.83203125" style="1"/>
  </cols>
  <sheetData>
    <row r="1" spans="2:3" ht="30" customHeight="1">
      <c r="B1" s="12" t="s">
        <v>19</v>
      </c>
    </row>
    <row r="2" spans="2:3">
      <c r="B2" s="3" t="s">
        <v>0</v>
      </c>
      <c r="C2" s="3" t="s">
        <v>2</v>
      </c>
    </row>
    <row r="3" spans="2:3">
      <c r="B3" s="4">
        <v>2014</v>
      </c>
      <c r="C3" s="3">
        <f t="shared" ref="C3:C13" ca="1" si="0">RANDBETWEEN(200,500)</f>
        <v>390</v>
      </c>
    </row>
    <row r="4" spans="2:3">
      <c r="B4" s="4">
        <v>2015</v>
      </c>
      <c r="C4" s="3">
        <f t="shared" ca="1" si="0"/>
        <v>388</v>
      </c>
    </row>
    <row r="5" spans="2:3">
      <c r="B5" s="4">
        <v>2016</v>
      </c>
      <c r="C5" s="3">
        <f t="shared" ca="1" si="0"/>
        <v>473</v>
      </c>
    </row>
    <row r="6" spans="2:3">
      <c r="B6" s="4">
        <v>2017</v>
      </c>
      <c r="C6" s="3">
        <f t="shared" ca="1" si="0"/>
        <v>251</v>
      </c>
    </row>
    <row r="7" spans="2:3">
      <c r="B7" s="4">
        <v>2018</v>
      </c>
      <c r="C7" s="3">
        <f t="shared" ca="1" si="0"/>
        <v>354</v>
      </c>
    </row>
    <row r="8" spans="2:3">
      <c r="B8" s="4">
        <v>2019</v>
      </c>
      <c r="C8" s="3">
        <f t="shared" ca="1" si="0"/>
        <v>410</v>
      </c>
    </row>
    <row r="9" spans="2:3">
      <c r="B9" s="4">
        <v>2020</v>
      </c>
      <c r="C9" s="3">
        <f t="shared" ca="1" si="0"/>
        <v>389</v>
      </c>
    </row>
    <row r="10" spans="2:3">
      <c r="B10" s="4">
        <v>2021</v>
      </c>
      <c r="C10" s="3">
        <f t="shared" ca="1" si="0"/>
        <v>468</v>
      </c>
    </row>
    <row r="11" spans="2:3">
      <c r="B11" s="4">
        <v>2022</v>
      </c>
      <c r="C11" s="3">
        <f t="shared" ca="1" si="0"/>
        <v>477</v>
      </c>
    </row>
    <row r="12" spans="2:3">
      <c r="B12" s="4">
        <v>2023</v>
      </c>
      <c r="C12" s="3">
        <f t="shared" ca="1" si="0"/>
        <v>226</v>
      </c>
    </row>
    <row r="13" spans="2:3">
      <c r="B13" s="4">
        <v>2024</v>
      </c>
      <c r="C13" s="3">
        <f t="shared" ca="1" si="0"/>
        <v>446</v>
      </c>
    </row>
    <row r="16" spans="2:3">
      <c r="B16" s="12" t="s">
        <v>20</v>
      </c>
    </row>
    <row r="17" spans="1:5">
      <c r="A17" s="2"/>
    </row>
    <row r="18" spans="1:5">
      <c r="A18" s="2"/>
      <c r="B18" s="3" t="s">
        <v>1</v>
      </c>
      <c r="C18" s="3" t="s">
        <v>3</v>
      </c>
      <c r="D18" s="3" t="s">
        <v>15</v>
      </c>
      <c r="E18" s="5" t="s">
        <v>16</v>
      </c>
    </row>
    <row r="19" spans="1:5">
      <c r="A19" s="2"/>
      <c r="B19" s="4" t="s">
        <v>4</v>
      </c>
      <c r="C19" s="3">
        <f ca="1">RANDBETWEEN(1,40)</f>
        <v>31</v>
      </c>
      <c r="D19" s="6">
        <f ca="1">AVERAGE($C$19:$C$29)</f>
        <v>23.90909090909091</v>
      </c>
      <c r="E19" s="7">
        <v>35</v>
      </c>
    </row>
    <row r="20" spans="1:5">
      <c r="A20" s="2"/>
      <c r="B20" s="4" t="s">
        <v>5</v>
      </c>
      <c r="C20" s="3">
        <f t="shared" ref="C20:C28" ca="1" si="1">RANDBETWEEN(1,40)</f>
        <v>25</v>
      </c>
      <c r="D20" s="6">
        <f t="shared" ref="D20:D29" ca="1" si="2">AVERAGE($C$19:$C$29)</f>
        <v>23.90909090909091</v>
      </c>
      <c r="E20" s="7">
        <v>35</v>
      </c>
    </row>
    <row r="21" spans="1:5">
      <c r="A21" s="2"/>
      <c r="B21" s="4" t="s">
        <v>6</v>
      </c>
      <c r="C21" s="3">
        <f t="shared" ca="1" si="1"/>
        <v>11</v>
      </c>
      <c r="D21" s="6">
        <f t="shared" ca="1" si="2"/>
        <v>23.90909090909091</v>
      </c>
      <c r="E21" s="7">
        <v>35</v>
      </c>
    </row>
    <row r="22" spans="1:5">
      <c r="A22" s="2"/>
      <c r="B22" s="4" t="s">
        <v>7</v>
      </c>
      <c r="C22" s="3">
        <f t="shared" ca="1" si="1"/>
        <v>25</v>
      </c>
      <c r="D22" s="6">
        <f t="shared" ca="1" si="2"/>
        <v>23.90909090909091</v>
      </c>
      <c r="E22" s="7">
        <v>35</v>
      </c>
    </row>
    <row r="23" spans="1:5">
      <c r="A23" s="2"/>
      <c r="B23" s="4" t="s">
        <v>8</v>
      </c>
      <c r="C23" s="3">
        <f t="shared" ca="1" si="1"/>
        <v>22</v>
      </c>
      <c r="D23" s="6">
        <f t="shared" ca="1" si="2"/>
        <v>23.90909090909091</v>
      </c>
      <c r="E23" s="7">
        <v>35</v>
      </c>
    </row>
    <row r="24" spans="1:5">
      <c r="A24" s="2"/>
      <c r="B24" s="4" t="s">
        <v>9</v>
      </c>
      <c r="C24" s="3">
        <f t="shared" ca="1" si="1"/>
        <v>28</v>
      </c>
      <c r="D24" s="6">
        <f t="shared" ca="1" si="2"/>
        <v>23.90909090909091</v>
      </c>
      <c r="E24" s="7">
        <v>35</v>
      </c>
    </row>
    <row r="25" spans="1:5">
      <c r="A25" s="2"/>
      <c r="B25" s="4" t="s">
        <v>10</v>
      </c>
      <c r="C25" s="3">
        <f t="shared" ca="1" si="1"/>
        <v>5</v>
      </c>
      <c r="D25" s="6">
        <f t="shared" ca="1" si="2"/>
        <v>23.90909090909091</v>
      </c>
      <c r="E25" s="7">
        <v>35</v>
      </c>
    </row>
    <row r="26" spans="1:5">
      <c r="A26" s="2"/>
      <c r="B26" s="4" t="s">
        <v>11</v>
      </c>
      <c r="C26" s="3">
        <f t="shared" ca="1" si="1"/>
        <v>21</v>
      </c>
      <c r="D26" s="6">
        <f t="shared" ca="1" si="2"/>
        <v>23.90909090909091</v>
      </c>
      <c r="E26" s="7">
        <v>35</v>
      </c>
    </row>
    <row r="27" spans="1:5">
      <c r="A27" s="2"/>
      <c r="B27" s="4" t="s">
        <v>12</v>
      </c>
      <c r="C27" s="3">
        <f t="shared" ca="1" si="1"/>
        <v>29</v>
      </c>
      <c r="D27" s="6">
        <f t="shared" ca="1" si="2"/>
        <v>23.90909090909091</v>
      </c>
      <c r="E27" s="7">
        <v>35</v>
      </c>
    </row>
    <row r="28" spans="1:5">
      <c r="A28" s="2"/>
      <c r="B28" s="4" t="s">
        <v>13</v>
      </c>
      <c r="C28" s="3">
        <f t="shared" ca="1" si="1"/>
        <v>27</v>
      </c>
      <c r="D28" s="6">
        <f t="shared" ca="1" si="2"/>
        <v>23.90909090909091</v>
      </c>
      <c r="E28" s="7">
        <v>35</v>
      </c>
    </row>
    <row r="29" spans="1:5">
      <c r="A29" s="2"/>
      <c r="B29" s="8" t="s">
        <v>14</v>
      </c>
      <c r="C29" s="7">
        <f ca="1">RANDBETWEEN(32,40)</f>
        <v>39</v>
      </c>
      <c r="D29" s="9">
        <f t="shared" ca="1" si="2"/>
        <v>23.90909090909091</v>
      </c>
      <c r="E29" s="7">
        <v>35</v>
      </c>
    </row>
    <row r="30" spans="1:5">
      <c r="A30" s="2"/>
    </row>
    <row r="31" spans="1:5">
      <c r="A31" s="2"/>
    </row>
    <row r="32" spans="1:5">
      <c r="A32" s="2"/>
    </row>
    <row r="33" spans="1:4">
      <c r="A33" s="2"/>
      <c r="B33" s="12" t="s">
        <v>21</v>
      </c>
    </row>
    <row r="34" spans="1:4">
      <c r="A34" s="2"/>
    </row>
    <row r="35" spans="1:4">
      <c r="A35" s="2"/>
      <c r="B35" s="3" t="s">
        <v>17</v>
      </c>
      <c r="C35" s="3" t="s">
        <v>2</v>
      </c>
      <c r="D35" s="10" t="s">
        <v>18</v>
      </c>
    </row>
    <row r="36" spans="1:4">
      <c r="A36" s="2"/>
      <c r="B36" s="4">
        <v>1</v>
      </c>
      <c r="C36" s="3">
        <f t="shared" ref="C36:C47" ca="1" si="3">RANDBETWEEN(200,500)</f>
        <v>344</v>
      </c>
      <c r="D36" s="10"/>
    </row>
    <row r="37" spans="1:4">
      <c r="A37" s="2"/>
      <c r="B37" s="4">
        <v>2</v>
      </c>
      <c r="C37" s="3">
        <f t="shared" ca="1" si="3"/>
        <v>225</v>
      </c>
      <c r="D37" s="11">
        <f ca="1">(C37-C36)/C36</f>
        <v>-0.34593023255813954</v>
      </c>
    </row>
    <row r="38" spans="1:4">
      <c r="A38" s="2"/>
      <c r="B38" s="4">
        <v>3</v>
      </c>
      <c r="C38" s="3">
        <f t="shared" ca="1" si="3"/>
        <v>496</v>
      </c>
      <c r="D38" s="11">
        <f t="shared" ref="D38:D47" ca="1" si="4">(C38-C37)/C37</f>
        <v>1.2044444444444444</v>
      </c>
    </row>
    <row r="39" spans="1:4">
      <c r="A39" s="2"/>
      <c r="B39" s="4">
        <v>4</v>
      </c>
      <c r="C39" s="3">
        <f t="shared" ca="1" si="3"/>
        <v>239</v>
      </c>
      <c r="D39" s="11">
        <f t="shared" ca="1" si="4"/>
        <v>-0.51814516129032262</v>
      </c>
    </row>
    <row r="40" spans="1:4">
      <c r="A40" s="2"/>
      <c r="B40" s="4">
        <v>5</v>
      </c>
      <c r="C40" s="3">
        <f t="shared" ca="1" si="3"/>
        <v>261</v>
      </c>
      <c r="D40" s="11">
        <f t="shared" ca="1" si="4"/>
        <v>9.2050209205020925E-2</v>
      </c>
    </row>
    <row r="41" spans="1:4">
      <c r="A41" s="2"/>
      <c r="B41" s="4">
        <v>6</v>
      </c>
      <c r="C41" s="3">
        <f t="shared" ca="1" si="3"/>
        <v>204</v>
      </c>
      <c r="D41" s="11">
        <f t="shared" ca="1" si="4"/>
        <v>-0.21839080459770116</v>
      </c>
    </row>
    <row r="42" spans="1:4">
      <c r="A42" s="2"/>
      <c r="B42" s="4">
        <v>7</v>
      </c>
      <c r="C42" s="3">
        <f t="shared" ca="1" si="3"/>
        <v>283</v>
      </c>
      <c r="D42" s="11">
        <f t="shared" ca="1" si="4"/>
        <v>0.38725490196078433</v>
      </c>
    </row>
    <row r="43" spans="1:4">
      <c r="A43" s="2"/>
      <c r="B43" s="4">
        <v>8</v>
      </c>
      <c r="C43" s="3">
        <f t="shared" ca="1" si="3"/>
        <v>288</v>
      </c>
      <c r="D43" s="11">
        <f t="shared" ca="1" si="4"/>
        <v>1.7667844522968199E-2</v>
      </c>
    </row>
    <row r="44" spans="1:4">
      <c r="A44" s="2"/>
      <c r="B44" s="4">
        <v>9</v>
      </c>
      <c r="C44" s="3">
        <f t="shared" ca="1" si="3"/>
        <v>256</v>
      </c>
      <c r="D44" s="11">
        <f t="shared" ca="1" si="4"/>
        <v>-0.1111111111111111</v>
      </c>
    </row>
    <row r="45" spans="1:4">
      <c r="A45" s="2"/>
      <c r="B45" s="4">
        <v>10</v>
      </c>
      <c r="C45" s="3">
        <f t="shared" ca="1" si="3"/>
        <v>358</v>
      </c>
      <c r="D45" s="11">
        <f t="shared" ca="1" si="4"/>
        <v>0.3984375</v>
      </c>
    </row>
    <row r="46" spans="1:4">
      <c r="A46" s="2"/>
      <c r="B46" s="4">
        <v>11</v>
      </c>
      <c r="C46" s="3">
        <f t="shared" ca="1" si="3"/>
        <v>221</v>
      </c>
      <c r="D46" s="11">
        <f t="shared" ca="1" si="4"/>
        <v>-0.38268156424581007</v>
      </c>
    </row>
    <row r="47" spans="1:4">
      <c r="A47" s="2"/>
      <c r="B47" s="4">
        <v>12</v>
      </c>
      <c r="C47" s="3">
        <f t="shared" ca="1" si="3"/>
        <v>397</v>
      </c>
      <c r="D47" s="11">
        <f t="shared" ca="1" si="4"/>
        <v>0.7963800904977375</v>
      </c>
    </row>
    <row r="48" spans="1:4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趋势图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2024-10-31T08:16:33Z</dcterms:modified>
</cp:coreProperties>
</file>